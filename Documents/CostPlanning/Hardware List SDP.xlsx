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rdue0-my.sharepoint.com/personal/halltj01_purdue_edu/Documents/SeniorDesignProject_shared/Golf Bag/CostPlanning/"/>
    </mc:Choice>
  </mc:AlternateContent>
  <xr:revisionPtr revIDLastSave="108" documentId="13_ncr:1_{FF696B22-C907-468D-AD74-3B403518D326}" xr6:coauthVersionLast="47" xr6:coauthVersionMax="47" xr10:uidLastSave="{1F188EFC-BD15-4F55-A1A9-6F1F3C82E96D}"/>
  <bookViews>
    <workbookView xWindow="7770" yWindow="945" windowWidth="29625" windowHeight="19935" xr2:uid="{5E513FE1-C209-43FB-AE6F-794B77CF3D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11" i="1"/>
  <c r="F11" i="1" s="1"/>
  <c r="F10" i="1"/>
  <c r="E4" i="1"/>
  <c r="F15" i="1"/>
  <c r="E3" i="1"/>
  <c r="E9" i="1"/>
  <c r="F14" i="1"/>
  <c r="F13" i="1"/>
  <c r="F7" i="1"/>
  <c r="F6" i="1"/>
  <c r="F8" i="1"/>
  <c r="F16" i="1" l="1"/>
  <c r="F9" i="1"/>
  <c r="F2" i="1"/>
  <c r="F3" i="1"/>
  <c r="F4" i="1"/>
  <c r="F5" i="1"/>
  <c r="F12" i="1"/>
  <c r="F17" i="1"/>
  <c r="F18" i="1" l="1"/>
</calcChain>
</file>

<file path=xl/sharedStrings.xml><?xml version="1.0" encoding="utf-8"?>
<sst xmlns="http://schemas.openxmlformats.org/spreadsheetml/2006/main" count="66" uniqueCount="48">
  <si>
    <t>USB – C cable</t>
  </si>
  <si>
    <t>Wires / cables</t>
  </si>
  <si>
    <t>Acquired</t>
  </si>
  <si>
    <t>Spool PLA filament for 3D printing</t>
  </si>
  <si>
    <t>LEDs</t>
  </si>
  <si>
    <t>Material Total</t>
  </si>
  <si>
    <t>Item</t>
  </si>
  <si>
    <t>Qty</t>
  </si>
  <si>
    <t>Unit Cost</t>
  </si>
  <si>
    <t>Total Cost</t>
  </si>
  <si>
    <t>Comments</t>
  </si>
  <si>
    <t>Mounting/Assembly Hardware</t>
  </si>
  <si>
    <t>ESP32</t>
  </si>
  <si>
    <t>Laser Distance Sensor</t>
  </si>
  <si>
    <t>Motor Driver Module (H-Bridge)</t>
  </si>
  <si>
    <t>URL</t>
  </si>
  <si>
    <t>Actual Name</t>
  </si>
  <si>
    <t>Ultra-Wideband Module</t>
  </si>
  <si>
    <t xml:space="preserve"> CE10222 -  UWB, BU-03</t>
  </si>
  <si>
    <t>https://core-electronics.com.au/ultra-wide-band-module-development-kit-bu03.html</t>
  </si>
  <si>
    <t>TOF400C VL53L1X 4M</t>
  </si>
  <si>
    <t>https://www.amazon.com/dp/B0DC6M6G7W?ref=ppx_yo2ov_dt_b_fed_asin_title&amp;th=1</t>
  </si>
  <si>
    <t xml:space="preserve">https://www.amazon.com/dp/B0CR886L92?ref=ppx_yo2ov_dt_b_fed_asin_title&amp;th=1 </t>
  </si>
  <si>
    <t xml:space="preserve">https://www.amazon.com/dp/B0D8T53CQ5 </t>
  </si>
  <si>
    <t>ELEGOO 3PC ESP-32 Dev Board USB-C</t>
  </si>
  <si>
    <t>https://www.amazon.com/dp/B089FZ79CS?th=1</t>
  </si>
  <si>
    <t xml:space="preserve"> </t>
  </si>
  <si>
    <t xml:space="preserve">https://www.amazon.com/dp/B0D2L1B7PK?th=1 </t>
  </si>
  <si>
    <t>Misc.</t>
  </si>
  <si>
    <t>PLA</t>
  </si>
  <si>
    <t>Wires</t>
  </si>
  <si>
    <t>USB-C Cable</t>
  </si>
  <si>
    <t>DC Motor</t>
  </si>
  <si>
    <t xml:space="preserve">https://www.amazon.com/dp/B0C5JCF5RS?ref=ppx_yo2ov_dt_b_fed_asin_title </t>
  </si>
  <si>
    <t>Rechargable Portable Battery</t>
  </si>
  <si>
    <t>Milwaukee M18 4 AH</t>
  </si>
  <si>
    <t xml:space="preserve"> Small Portable Battery for Remote</t>
  </si>
  <si>
    <t>BTS 7960</t>
  </si>
  <si>
    <t>Caddytek CaddyLite ONE</t>
  </si>
  <si>
    <t>Golf Push Cart</t>
  </si>
  <si>
    <t>Wood</t>
  </si>
  <si>
    <t>Carrier Materials</t>
  </si>
  <si>
    <t>Greartisan DC 12V 200RPM</t>
  </si>
  <si>
    <t>INIU 45W Power Bank, 10000mAh</t>
  </si>
  <si>
    <t>Rocker Toggle Switch</t>
  </si>
  <si>
    <t>Power Switch</t>
  </si>
  <si>
    <t>Buck Converter</t>
  </si>
  <si>
    <t>6-24V to 5V 1.5A Step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</si>
</sst>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44" fontId="3" fillId="3" borderId="3" xfId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5" fillId="3" borderId="4" xfId="2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44" fontId="3" fillId="3" borderId="6" xfId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44" fontId="3" fillId="3" borderId="10" xfId="1" applyFont="1" applyFill="1" applyBorder="1" applyAlignment="1">
      <alignment horizontal="center" vertical="center"/>
    </xf>
    <xf numFmtId="44" fontId="3" fillId="3" borderId="9" xfId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44" fontId="3" fillId="3" borderId="0" xfId="1" applyFont="1" applyFill="1" applyBorder="1" applyAlignment="1">
      <alignment horizontal="center" vertical="center"/>
    </xf>
    <xf numFmtId="44" fontId="3" fillId="4" borderId="1" xfId="0" applyNumberFormat="1" applyFont="1" applyFill="1" applyBorder="1" applyAlignment="1">
      <alignment horizontal="center" vertical="center"/>
    </xf>
    <xf numFmtId="44" fontId="3" fillId="3" borderId="11" xfId="1" applyFont="1" applyFill="1" applyBorder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dp/B0CR886L92?ref=ppx_yo2ov_dt_b_fed_asin_title&amp;th=1" TargetMode="External"/><Relationship Id="rId3" Type="http://schemas.openxmlformats.org/officeDocument/2006/relationships/hyperlink" Target="https://www.amazon.com/dp/B0CR886L92?ref=ppx_yo2ov_dt_b_fed_asin_title&amp;th=1" TargetMode="External"/><Relationship Id="rId7" Type="http://schemas.openxmlformats.org/officeDocument/2006/relationships/hyperlink" Target="https://www.amazon.com/dp/B0C5JCF5RS?ref=ppx_yo2ov_dt_b_fed_asin_title" TargetMode="External"/><Relationship Id="rId2" Type="http://schemas.openxmlformats.org/officeDocument/2006/relationships/hyperlink" Target="https://www.amazon.com/dp/B0DC6M6G7W?ref=ppx_yo2ov_dt_b_fed_asin_title&amp;th=1" TargetMode="External"/><Relationship Id="rId1" Type="http://schemas.openxmlformats.org/officeDocument/2006/relationships/hyperlink" Target="https://core-electronics.com.au/ultra-wide-band-module-development-kit-bu03.html" TargetMode="External"/><Relationship Id="rId6" Type="http://schemas.openxmlformats.org/officeDocument/2006/relationships/hyperlink" Target="https://www.amazon.com/dp/B0D2L1B7PK?th=1" TargetMode="External"/><Relationship Id="rId5" Type="http://schemas.openxmlformats.org/officeDocument/2006/relationships/hyperlink" Target="https://www.amazon.com/dp/B089FZ79CS?th=1" TargetMode="External"/><Relationship Id="rId4" Type="http://schemas.openxmlformats.org/officeDocument/2006/relationships/hyperlink" Target="https://www.amazon.com/dp/B0D8T53CQ5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6B597-D13B-48A2-A36E-143F2F530833}">
  <dimension ref="B1:I22"/>
  <sheetViews>
    <sheetView tabSelected="1" zoomScaleNormal="100" workbookViewId="0">
      <selection activeCell="B31" sqref="B31"/>
    </sheetView>
  </sheetViews>
  <sheetFormatPr defaultColWidth="9.140625" defaultRowHeight="15" x14ac:dyDescent="0.25"/>
  <cols>
    <col min="1" max="1" width="36.42578125" style="1" bestFit="1" customWidth="1"/>
    <col min="2" max="2" width="40.140625" style="1" customWidth="1"/>
    <col min="3" max="3" width="43.140625" style="1" customWidth="1"/>
    <col min="4" max="4" width="7.42578125" style="1" customWidth="1"/>
    <col min="5" max="5" width="15.28515625" style="1" customWidth="1"/>
    <col min="6" max="6" width="13.140625" style="1" bestFit="1" customWidth="1"/>
    <col min="7" max="7" width="20.42578125" style="1" customWidth="1"/>
    <col min="8" max="8" width="79.85546875" style="1" bestFit="1" customWidth="1"/>
    <col min="9" max="16384" width="9.140625" style="1"/>
  </cols>
  <sheetData>
    <row r="1" spans="2:9" ht="15.75" thickBot="1" x14ac:dyDescent="0.3">
      <c r="B1" s="4" t="s">
        <v>6</v>
      </c>
      <c r="C1" s="5" t="s">
        <v>16</v>
      </c>
      <c r="D1" s="4" t="s">
        <v>7</v>
      </c>
      <c r="E1" s="4" t="s">
        <v>8</v>
      </c>
      <c r="F1" s="4" t="s">
        <v>9</v>
      </c>
      <c r="G1" s="4" t="s">
        <v>10</v>
      </c>
      <c r="H1" s="6" t="s">
        <v>15</v>
      </c>
    </row>
    <row r="2" spans="2:9" ht="15.75" thickBot="1" x14ac:dyDescent="0.3">
      <c r="B2" s="7" t="s">
        <v>32</v>
      </c>
      <c r="C2" s="7" t="s">
        <v>42</v>
      </c>
      <c r="D2" s="8">
        <v>2</v>
      </c>
      <c r="E2" s="9">
        <v>20</v>
      </c>
      <c r="F2" s="9">
        <f t="shared" ref="F2:F17" si="0">D2*E2</f>
        <v>40</v>
      </c>
      <c r="G2" s="10" t="s">
        <v>2</v>
      </c>
      <c r="H2" s="10"/>
    </row>
    <row r="3" spans="2:9" ht="15.75" thickBot="1" x14ac:dyDescent="0.3">
      <c r="B3" s="7" t="s">
        <v>12</v>
      </c>
      <c r="C3" s="7" t="s">
        <v>24</v>
      </c>
      <c r="D3" s="8">
        <v>2</v>
      </c>
      <c r="E3" s="9">
        <f>16.99/3</f>
        <v>5.6633333333333331</v>
      </c>
      <c r="F3" s="9">
        <f t="shared" si="0"/>
        <v>11.326666666666666</v>
      </c>
      <c r="G3" s="10" t="s">
        <v>2</v>
      </c>
      <c r="H3" s="11" t="s">
        <v>23</v>
      </c>
    </row>
    <row r="4" spans="2:9" ht="15.75" thickBot="1" x14ac:dyDescent="0.3">
      <c r="B4" s="7" t="s">
        <v>0</v>
      </c>
      <c r="C4" s="7" t="s">
        <v>31</v>
      </c>
      <c r="D4" s="8">
        <v>2</v>
      </c>
      <c r="E4" s="9">
        <f>9.99/2</f>
        <v>4.9950000000000001</v>
      </c>
      <c r="F4" s="9">
        <f t="shared" si="0"/>
        <v>9.99</v>
      </c>
      <c r="G4" s="10" t="s">
        <v>2</v>
      </c>
      <c r="H4" s="10"/>
    </row>
    <row r="5" spans="2:9" ht="15.75" thickBot="1" x14ac:dyDescent="0.3">
      <c r="B5" s="7" t="s">
        <v>1</v>
      </c>
      <c r="C5" s="7" t="s">
        <v>30</v>
      </c>
      <c r="D5" s="8">
        <v>1</v>
      </c>
      <c r="E5" s="9">
        <v>21.99</v>
      </c>
      <c r="F5" s="9">
        <f t="shared" si="0"/>
        <v>21.99</v>
      </c>
      <c r="G5" s="10" t="s">
        <v>2</v>
      </c>
      <c r="H5" s="11" t="s">
        <v>25</v>
      </c>
    </row>
    <row r="6" spans="2:9" ht="15.75" thickBot="1" x14ac:dyDescent="0.3">
      <c r="B6" s="7" t="s">
        <v>34</v>
      </c>
      <c r="C6" s="7" t="s">
        <v>35</v>
      </c>
      <c r="D6" s="8">
        <v>1</v>
      </c>
      <c r="E6" s="9">
        <v>139.99</v>
      </c>
      <c r="F6" s="9">
        <f t="shared" si="0"/>
        <v>139.99</v>
      </c>
      <c r="G6" s="10" t="s">
        <v>2</v>
      </c>
      <c r="H6" s="11" t="s">
        <v>27</v>
      </c>
    </row>
    <row r="7" spans="2:9" ht="15.75" thickBot="1" x14ac:dyDescent="0.3">
      <c r="B7" s="7" t="s">
        <v>36</v>
      </c>
      <c r="C7" s="7" t="s">
        <v>43</v>
      </c>
      <c r="D7" s="8">
        <v>1</v>
      </c>
      <c r="E7" s="9">
        <v>30</v>
      </c>
      <c r="F7" s="9">
        <f t="shared" ref="F7" si="1">D7*E7</f>
        <v>30</v>
      </c>
      <c r="G7" s="10" t="s">
        <v>2</v>
      </c>
      <c r="H7" s="10"/>
    </row>
    <row r="8" spans="2:9" ht="15.75" thickBot="1" x14ac:dyDescent="0.3">
      <c r="B8" s="7" t="s">
        <v>3</v>
      </c>
      <c r="C8" s="7" t="s">
        <v>29</v>
      </c>
      <c r="D8" s="8">
        <v>4</v>
      </c>
      <c r="E8" s="9">
        <v>8</v>
      </c>
      <c r="F8" s="9">
        <f t="shared" si="0"/>
        <v>32</v>
      </c>
      <c r="G8" s="10" t="s">
        <v>2</v>
      </c>
      <c r="H8" s="10"/>
    </row>
    <row r="9" spans="2:9" ht="15.75" thickBot="1" x14ac:dyDescent="0.3">
      <c r="B9" s="7" t="s">
        <v>13</v>
      </c>
      <c r="C9" s="7" t="s">
        <v>20</v>
      </c>
      <c r="D9" s="8">
        <v>3</v>
      </c>
      <c r="E9" s="9">
        <f>21.69/4</f>
        <v>5.4225000000000003</v>
      </c>
      <c r="F9" s="9">
        <f t="shared" si="0"/>
        <v>16.267500000000002</v>
      </c>
      <c r="G9" s="10" t="s">
        <v>2</v>
      </c>
      <c r="H9" s="11" t="s">
        <v>21</v>
      </c>
    </row>
    <row r="10" spans="2:9" ht="15.75" thickBot="1" x14ac:dyDescent="0.3">
      <c r="B10" s="7" t="s">
        <v>45</v>
      </c>
      <c r="C10" s="7" t="s">
        <v>44</v>
      </c>
      <c r="D10" s="8">
        <v>1</v>
      </c>
      <c r="E10" s="9">
        <v>4</v>
      </c>
      <c r="F10" s="9">
        <f t="shared" ref="F10:F11" si="2">D10*E10</f>
        <v>4</v>
      </c>
      <c r="G10" s="10" t="s">
        <v>2</v>
      </c>
      <c r="H10" s="11"/>
    </row>
    <row r="11" spans="2:9" ht="15.75" thickBot="1" x14ac:dyDescent="0.3">
      <c r="B11" s="7" t="s">
        <v>4</v>
      </c>
      <c r="C11" s="7" t="s">
        <v>4</v>
      </c>
      <c r="D11" s="8">
        <v>4</v>
      </c>
      <c r="E11" s="9">
        <f>4.59/50</f>
        <v>9.1799999999999993E-2</v>
      </c>
      <c r="F11" s="9">
        <f t="shared" si="2"/>
        <v>0.36719999999999997</v>
      </c>
      <c r="G11" s="10" t="s">
        <v>2</v>
      </c>
      <c r="H11" s="11" t="s">
        <v>22</v>
      </c>
    </row>
    <row r="12" spans="2:9" ht="15.75" thickBot="1" x14ac:dyDescent="0.3">
      <c r="B12" s="7" t="s">
        <v>46</v>
      </c>
      <c r="C12" s="7" t="s">
        <v>47</v>
      </c>
      <c r="D12" s="8">
        <v>1</v>
      </c>
      <c r="E12" s="9">
        <f>13.99/4</f>
        <v>3.4975000000000001</v>
      </c>
      <c r="F12" s="9">
        <f t="shared" si="0"/>
        <v>3.4975000000000001</v>
      </c>
      <c r="G12" s="10" t="s">
        <v>2</v>
      </c>
      <c r="H12" s="11" t="s">
        <v>22</v>
      </c>
    </row>
    <row r="13" spans="2:9" ht="15.75" thickBot="1" x14ac:dyDescent="0.3">
      <c r="B13" s="12" t="s">
        <v>17</v>
      </c>
      <c r="C13" s="12" t="s">
        <v>18</v>
      </c>
      <c r="D13" s="8">
        <v>3</v>
      </c>
      <c r="E13" s="9">
        <v>34.56</v>
      </c>
      <c r="F13" s="13">
        <f>D13*E13</f>
        <v>103.68</v>
      </c>
      <c r="G13" s="10" t="s">
        <v>2</v>
      </c>
      <c r="H13" s="11" t="s">
        <v>19</v>
      </c>
      <c r="I13" s="1" t="s">
        <v>26</v>
      </c>
    </row>
    <row r="14" spans="2:9" ht="15.75" thickBot="1" x14ac:dyDescent="0.3">
      <c r="B14" s="14" t="s">
        <v>39</v>
      </c>
      <c r="C14" s="14" t="s">
        <v>38</v>
      </c>
      <c r="D14" s="15">
        <v>1</v>
      </c>
      <c r="E14" s="16">
        <v>175</v>
      </c>
      <c r="F14" s="22">
        <f t="shared" ref="F14:F15" si="3">D14*E14</f>
        <v>175</v>
      </c>
      <c r="G14" s="10" t="s">
        <v>2</v>
      </c>
      <c r="H14" s="10"/>
    </row>
    <row r="15" spans="2:9" ht="15.75" thickBot="1" x14ac:dyDescent="0.3">
      <c r="B15" s="14" t="s">
        <v>14</v>
      </c>
      <c r="C15" s="14" t="s">
        <v>37</v>
      </c>
      <c r="D15" s="15">
        <v>2</v>
      </c>
      <c r="E15" s="16">
        <v>18.989999999999998</v>
      </c>
      <c r="F15" s="17">
        <f t="shared" si="3"/>
        <v>37.979999999999997</v>
      </c>
      <c r="G15" s="10" t="s">
        <v>2</v>
      </c>
      <c r="H15" s="11" t="s">
        <v>33</v>
      </c>
    </row>
    <row r="16" spans="2:9" ht="15.75" thickBot="1" x14ac:dyDescent="0.3">
      <c r="B16" s="12" t="s">
        <v>41</v>
      </c>
      <c r="C16" s="12" t="s">
        <v>40</v>
      </c>
      <c r="D16" s="18">
        <v>1</v>
      </c>
      <c r="E16" s="9">
        <v>100</v>
      </c>
      <c r="F16" s="9">
        <f t="shared" si="0"/>
        <v>100</v>
      </c>
      <c r="G16" s="10" t="s">
        <v>2</v>
      </c>
      <c r="H16" s="10"/>
    </row>
    <row r="17" spans="2:9" ht="15.75" thickBot="1" x14ac:dyDescent="0.3">
      <c r="B17" s="19" t="s">
        <v>11</v>
      </c>
      <c r="C17" s="19" t="s">
        <v>28</v>
      </c>
      <c r="D17" s="19">
        <v>1</v>
      </c>
      <c r="E17" s="13">
        <v>20</v>
      </c>
      <c r="F17" s="20">
        <f t="shared" si="0"/>
        <v>20</v>
      </c>
      <c r="G17" s="19" t="s">
        <v>2</v>
      </c>
      <c r="H17" s="19"/>
    </row>
    <row r="18" spans="2:9" ht="15.75" thickBot="1" x14ac:dyDescent="0.3">
      <c r="E18" s="2" t="s">
        <v>5</v>
      </c>
      <c r="F18" s="21">
        <f>SUM(F2:F17)</f>
        <v>746.08886666666672</v>
      </c>
    </row>
    <row r="19" spans="2:9" x14ac:dyDescent="0.25">
      <c r="G19" s="3"/>
    </row>
    <row r="20" spans="2:9" x14ac:dyDescent="0.25">
      <c r="G20" s="3"/>
    </row>
    <row r="22" spans="2:9" x14ac:dyDescent="0.25">
      <c r="I22" s="1" t="s">
        <v>26</v>
      </c>
    </row>
  </sheetData>
  <hyperlinks>
    <hyperlink ref="H13" r:id="rId1" xr:uid="{913E13D4-542B-4A9A-9905-89451E4C5945}"/>
    <hyperlink ref="H9" r:id="rId2" xr:uid="{A74A23D8-9B14-4500-9CDE-C32CF9E62158}"/>
    <hyperlink ref="H12" r:id="rId3" xr:uid="{E2D5A90B-27AD-4C9C-A82E-B651CEAAECB7}"/>
    <hyperlink ref="H3" r:id="rId4" xr:uid="{8B17041C-B16D-4BEF-B360-FD7A6F49B905}"/>
    <hyperlink ref="H5" r:id="rId5" xr:uid="{DA2FB251-2208-43CB-8301-7B960260E24E}"/>
    <hyperlink ref="H6" r:id="rId6" xr:uid="{140FADD3-22E2-4822-BFE2-6D27C5245930}"/>
    <hyperlink ref="H15" r:id="rId7" xr:uid="{350C3676-5A91-4081-9468-F45F87A27027}"/>
    <hyperlink ref="H11" r:id="rId8" xr:uid="{BAD418BE-E775-40AC-A2DB-E0EBE2D34D4F}"/>
  </hyperlinks>
  <pageMargins left="0.7" right="0.7" top="0.75" bottom="0.75" header="0.3" footer="0.3"/>
  <pageSetup orientation="portrait"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323785E2E234C942DB85D065100C7" ma:contentTypeVersion="7" ma:contentTypeDescription="Create a new document." ma:contentTypeScope="" ma:versionID="34825dd5b40b01b31601281b4f5e1dfa">
  <xsd:schema xmlns:xsd="http://www.w3.org/2001/XMLSchema" xmlns:xs="http://www.w3.org/2001/XMLSchema" xmlns:p="http://schemas.microsoft.com/office/2006/metadata/properties" xmlns:ns3="049d2eb4-c69d-4522-8aae-22301779a1ce" xmlns:ns4="8c55fe74-7921-40cc-a0b6-22bad98213ef" targetNamespace="http://schemas.microsoft.com/office/2006/metadata/properties" ma:root="true" ma:fieldsID="2ecea3fd3046adb22749102475fe6a72" ns3:_="" ns4:_="">
    <xsd:import namespace="049d2eb4-c69d-4522-8aae-22301779a1ce"/>
    <xsd:import namespace="8c55fe74-7921-40cc-a0b6-22bad98213ef"/>
    <xsd:element name="properties">
      <xsd:complexType>
        <xsd:sequence>
          <xsd:element name="documentManagement">
            <xsd:complexType>
              <xsd:all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9d2eb4-c69d-4522-8aae-22301779a1ce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55fe74-7921-40cc-a0b6-22bad98213e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9d2eb4-c69d-4522-8aae-22301779a1ce" xsi:nil="true"/>
  </documentManagement>
</p:properties>
</file>

<file path=customXml/itemProps1.xml><?xml version="1.0" encoding="utf-8"?>
<ds:datastoreItem xmlns:ds="http://schemas.openxmlformats.org/officeDocument/2006/customXml" ds:itemID="{7AB38ABA-483F-4B4B-BBE2-9374915AF3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9d2eb4-c69d-4522-8aae-22301779a1ce"/>
    <ds:schemaRef ds:uri="8c55fe74-7921-40cc-a0b6-22bad98213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9905FD-2534-4CC4-8406-2674B3366A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6D82AC-D933-4F12-BFBC-D36A8FF50B5B}">
  <ds:schemaRefs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049d2eb4-c69d-4522-8aae-22301779a1ce"/>
    <ds:schemaRef ds:uri="http://schemas.openxmlformats.org/package/2006/metadata/core-properties"/>
    <ds:schemaRef ds:uri="http://schemas.microsoft.com/office/infopath/2007/PartnerControls"/>
    <ds:schemaRef ds:uri="8c55fe74-7921-40cc-a0b6-22bad98213ef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John Hall</dc:creator>
  <cp:lastModifiedBy>Tyler John Hall</cp:lastModifiedBy>
  <dcterms:created xsi:type="dcterms:W3CDTF">2025-11-05T01:25:19Z</dcterms:created>
  <dcterms:modified xsi:type="dcterms:W3CDTF">2026-04-21T00:42:42Z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0x010100945323785E2E234C942DB85D065100C7</vt:lpwstr>
  </property>
</Properties>
</file>